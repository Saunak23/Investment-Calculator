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5E09410-87CC-4FB2-8586-91FB8A3BF97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shboard" sheetId="4" r:id="rId1"/>
    <sheet name="Calculations" sheetId="1" r:id="rId2"/>
    <sheet name="Comparison" sheetId="2" r:id="rId3"/>
    <sheet name="Audit Report" sheetId="3" r:id="rId4"/>
    <sheet name="Concept Notes" sheetId="8" r:id="rId5"/>
  </sheets>
  <externalReferences>
    <externalReference r:id="rId6"/>
  </externalReferences>
  <definedNames>
    <definedName name="Acc.Amt.">Comparison!$E$6</definedName>
    <definedName name="Asset.Class">Comparison!$E$9</definedName>
    <definedName name="ERR">Comparison!$E$7</definedName>
    <definedName name="Investment_Period">Comparison!$H$10</definedName>
    <definedName name="IP">Comparison!$E$8</definedName>
    <definedName name="MOI">Comparison!$E$10</definedName>
    <definedName name="Nature">Comparison!$E$5</definedName>
    <definedName name="Return">[1]Calculations!$H$12</definedName>
    <definedName name="Savings">Comparison!$E$11</definedName>
  </definedNames>
  <calcPr calcId="181029"/>
</workbook>
</file>

<file path=xl/calcChain.xml><?xml version="1.0" encoding="utf-8"?>
<calcChain xmlns="http://schemas.openxmlformats.org/spreadsheetml/2006/main">
  <c r="D15" i="2" l="1"/>
  <c r="D16" i="2" l="1"/>
  <c r="D16" i="1"/>
  <c r="A1" i="4" l="1" a="1"/>
  <c r="A1" i="4" s="1"/>
  <c r="M37" i="4" l="1"/>
  <c r="M36" i="4"/>
  <c r="H37" i="4"/>
  <c r="H36" i="4"/>
  <c r="K37" i="4"/>
  <c r="K36" i="4"/>
  <c r="O11" i="1"/>
  <c r="I6" i="2"/>
  <c r="D6" i="2"/>
  <c r="D9" i="3"/>
  <c r="D11" i="3"/>
  <c r="D10" i="3"/>
  <c r="D12" i="3" l="1"/>
  <c r="L28" i="4" s="1"/>
  <c r="N13" i="1" l="1"/>
  <c r="J11" i="2" s="1"/>
  <c r="D13" i="1"/>
  <c r="D12" i="1"/>
  <c r="E11" i="1"/>
  <c r="E11" i="2" s="1"/>
  <c r="D20" i="2" l="1"/>
  <c r="F11" i="1"/>
  <c r="N36" i="4"/>
  <c r="L37" i="4"/>
  <c r="N37" i="4"/>
  <c r="L36" i="4"/>
  <c r="P11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<sst xmlns="http://schemas.openxmlformats.org/spreadsheetml/2006/main" count="93" uniqueCount="45">
  <si>
    <t>CALCULATIONS</t>
  </si>
  <si>
    <t>INPUT</t>
  </si>
  <si>
    <t>Nature of Investor</t>
  </si>
  <si>
    <t>Aggressive</t>
  </si>
  <si>
    <t xml:space="preserve">Annually </t>
  </si>
  <si>
    <t>Conservative</t>
  </si>
  <si>
    <t>FV</t>
  </si>
  <si>
    <t xml:space="preserve">Semi Annually </t>
  </si>
  <si>
    <t>Tenure</t>
  </si>
  <si>
    <t xml:space="preserve">Quaterly </t>
  </si>
  <si>
    <t>Asset Class</t>
  </si>
  <si>
    <t>Equity</t>
  </si>
  <si>
    <t xml:space="preserve">Monthly </t>
  </si>
  <si>
    <t>Govt. Bonds</t>
  </si>
  <si>
    <t xml:space="preserve">Frequency </t>
  </si>
  <si>
    <t>Rate</t>
  </si>
  <si>
    <t>Arrear</t>
  </si>
  <si>
    <t>Advance</t>
  </si>
  <si>
    <t>Mode of Investment</t>
  </si>
  <si>
    <t>Annuity</t>
  </si>
  <si>
    <t>Real Estate</t>
  </si>
  <si>
    <t>FD</t>
  </si>
  <si>
    <t>Gold</t>
  </si>
  <si>
    <t>Mutual Funds</t>
  </si>
  <si>
    <t>OUTPUT</t>
  </si>
  <si>
    <t>Investment Period</t>
  </si>
  <si>
    <t>Error</t>
  </si>
  <si>
    <t>Dashboard</t>
  </si>
  <si>
    <t>Calculation</t>
  </si>
  <si>
    <t>Comparison</t>
  </si>
  <si>
    <t>Sum</t>
  </si>
  <si>
    <t>Sheets</t>
  </si>
  <si>
    <t xml:space="preserve"> Annuity </t>
  </si>
  <si>
    <t xml:space="preserve">   Annuity   </t>
  </si>
  <si>
    <t xml:space="preserve">Investment </t>
  </si>
  <si>
    <t>Investor Type</t>
  </si>
  <si>
    <t>Savings/ROI</t>
  </si>
  <si>
    <t>Aggressive-</t>
  </si>
  <si>
    <t xml:space="preserve">Real Estate </t>
  </si>
  <si>
    <t>Conservative-</t>
  </si>
  <si>
    <t xml:space="preserve">Rate </t>
  </si>
  <si>
    <t>Asset Class (A)</t>
  </si>
  <si>
    <t>Asset Class (C)</t>
  </si>
  <si>
    <t>PV</t>
  </si>
  <si>
    <t>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</si>
</sst>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&quot;₹&quot;#,##0.00"/>
  </numFmts>
  <fonts count="15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lgerian"/>
      <family val="5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Georgia"/>
      <family val="1"/>
    </font>
    <font>
      <b/>
      <sz val="11"/>
      <color theme="1"/>
      <name val="Georgia"/>
      <family val="1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62">
    <xf numFmtId="0" fontId="0" fillId="0" borderId="0" xfId="0"/>
    <xf numFmtId="0" fontId="0" fillId="2" borderId="1" xfId="0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0" fontId="0" fillId="2" borderId="1" xfId="1" applyNumberFormat="1" applyFont="1" applyFill="1" applyBorder="1" applyAlignment="1">
      <alignment horizontal="center"/>
    </xf>
    <xf numFmtId="43" fontId="0" fillId="2" borderId="1" xfId="1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10" fontId="0" fillId="2" borderId="1" xfId="0" applyNumberFormat="1" applyFill="1" applyBorder="1" applyAlignment="1">
      <alignment horizontal="center"/>
    </xf>
    <xf numFmtId="43" fontId="0" fillId="2" borderId="1" xfId="1" applyFont="1" applyFill="1" applyBorder="1"/>
    <xf numFmtId="0" fontId="6" fillId="3" borderId="1" xfId="0" applyFont="1" applyFill="1" applyBorder="1"/>
    <xf numFmtId="0" fontId="0" fillId="3" borderId="1" xfId="0" applyFill="1" applyBorder="1" applyAlignment="1">
      <alignment horizontal="right"/>
    </xf>
    <xf numFmtId="0" fontId="0" fillId="3" borderId="1" xfId="0" applyFill="1" applyBorder="1"/>
    <xf numFmtId="1" fontId="0" fillId="3" borderId="1" xfId="1" applyNumberFormat="1" applyFont="1" applyFill="1" applyBorder="1"/>
    <xf numFmtId="9" fontId="0" fillId="3" borderId="1" xfId="0" applyNumberFormat="1" applyFill="1" applyBorder="1"/>
    <xf numFmtId="9" fontId="0" fillId="3" borderId="1" xfId="3" applyFont="1" applyFill="1" applyBorder="1"/>
    <xf numFmtId="0" fontId="6" fillId="2" borderId="1" xfId="0" applyFont="1" applyFill="1" applyBorder="1"/>
    <xf numFmtId="0" fontId="0" fillId="4" borderId="0" xfId="0" applyFill="1"/>
    <xf numFmtId="10" fontId="0" fillId="3" borderId="1" xfId="3" applyNumberFormat="1" applyFont="1" applyFill="1" applyBorder="1"/>
    <xf numFmtId="10" fontId="0" fillId="3" borderId="1" xfId="0" applyNumberFormat="1" applyFill="1" applyBorder="1"/>
    <xf numFmtId="165" fontId="0" fillId="2" borderId="1" xfId="0" applyNumberFormat="1" applyFill="1" applyBorder="1" applyAlignment="1">
      <alignment horizontal="center"/>
    </xf>
    <xf numFmtId="165" fontId="0" fillId="3" borderId="1" xfId="1" applyNumberFormat="1" applyFont="1" applyFill="1" applyBorder="1"/>
    <xf numFmtId="165" fontId="0" fillId="3" borderId="1" xfId="2" applyNumberFormat="1" applyFont="1" applyFill="1" applyBorder="1" applyAlignment="1"/>
    <xf numFmtId="165" fontId="0" fillId="2" borderId="1" xfId="0" applyNumberFormat="1" applyFill="1" applyBorder="1"/>
    <xf numFmtId="0" fontId="10" fillId="2" borderId="1" xfId="0" applyFont="1" applyFill="1" applyBorder="1" applyAlignment="1">
      <alignment horizontal="left"/>
    </xf>
    <xf numFmtId="0" fontId="10" fillId="3" borderId="1" xfId="0" applyFont="1" applyFill="1" applyBorder="1"/>
    <xf numFmtId="0" fontId="4" fillId="2" borderId="1" xfId="0" applyFont="1" applyFill="1" applyBorder="1" applyAlignment="1">
      <alignment horizontal="center"/>
    </xf>
    <xf numFmtId="0" fontId="12" fillId="6" borderId="1" xfId="0" applyFont="1" applyFill="1" applyBorder="1"/>
    <xf numFmtId="0" fontId="12" fillId="6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10" fontId="13" fillId="5" borderId="1" xfId="0" applyNumberFormat="1" applyFont="1" applyFill="1" applyBorder="1" applyAlignment="1">
      <alignment horizontal="center" vertical="center"/>
    </xf>
    <xf numFmtId="1" fontId="13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vertical="center"/>
    </xf>
    <xf numFmtId="0" fontId="12" fillId="4" borderId="0" xfId="0" applyFont="1" applyFill="1" applyAlignment="1">
      <alignment horizontal="center" vertical="center"/>
    </xf>
    <xf numFmtId="10" fontId="12" fillId="4" borderId="0" xfId="0" applyNumberFormat="1" applyFont="1" applyFill="1" applyAlignment="1">
      <alignment horizontal="center" vertical="center"/>
    </xf>
    <xf numFmtId="0" fontId="4" fillId="2" borderId="1" xfId="0" applyFont="1" applyFill="1" applyBorder="1"/>
    <xf numFmtId="0" fontId="4" fillId="2" borderId="3" xfId="0" applyFont="1" applyFill="1" applyBorder="1"/>
    <xf numFmtId="0" fontId="0" fillId="2" borderId="4" xfId="0" applyFill="1" applyBorder="1"/>
    <xf numFmtId="0" fontId="10" fillId="2" borderId="2" xfId="0" applyFont="1" applyFill="1" applyBorder="1"/>
    <xf numFmtId="0" fontId="0" fillId="2" borderId="5" xfId="0" applyFill="1" applyBorder="1"/>
    <xf numFmtId="9" fontId="0" fillId="2" borderId="3" xfId="0" applyNumberFormat="1" applyFill="1" applyBorder="1"/>
    <xf numFmtId="9" fontId="0" fillId="2" borderId="1" xfId="0" applyNumberFormat="1" applyFill="1" applyBorder="1"/>
    <xf numFmtId="10" fontId="0" fillId="2" borderId="3" xfId="0" applyNumberFormat="1" applyFill="1" applyBorder="1"/>
    <xf numFmtId="10" fontId="0" fillId="2" borderId="1" xfId="0" applyNumberFormat="1" applyFill="1" applyBorder="1"/>
    <xf numFmtId="0" fontId="10" fillId="0" borderId="0" xfId="0" applyFont="1"/>
    <xf numFmtId="9" fontId="0" fillId="0" borderId="0" xfId="0" applyNumberFormat="1"/>
    <xf numFmtId="0" fontId="14" fillId="0" borderId="0" xfId="4"/>
    <xf numFmtId="0" fontId="11" fillId="6" borderId="1" xfId="0" applyFont="1" applyFill="1" applyBorder="1"/>
    <xf numFmtId="165" fontId="0" fillId="4" borderId="0" xfId="0" applyNumberFormat="1" applyFill="1"/>
    <xf numFmtId="0" fontId="0" fillId="0" borderId="0" xfId="0" applyAlignment="1">
      <alignment horizontal="right"/>
    </xf>
    <xf numFmtId="10" fontId="0" fillId="0" borderId="0" xfId="3" applyNumberFormat="1" applyFont="1"/>
    <xf numFmtId="0" fontId="3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9" fontId="13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0" fontId="7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5">
    <cellStyle name="Comma" xfId="1" builtinId="3"/>
    <cellStyle name="Currency" xfId="2" builtinId="4"/>
    <cellStyle name="Hyperlink" xfId="4" builtinId="8"/>
    <cellStyle name="Normal" xfId="0" builtinId="0"/>
    <cellStyle name="Percent" xfId="3" builtinId="5"/>
  </cellStyles>
  <dxfs count="6">
    <dxf>
      <fill>
        <patternFill>
          <fgColor indexed="64"/>
          <bgColor theme="3" tint="0.89999084444715716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3" tint="0.89999084444715716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39997558519241921"/>
        </patternFill>
      </fill>
    </dxf>
    <dxf>
      <fill>
        <patternFill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baseline="0"/>
              <a:t> Rate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0D76-42BB-AADE-30F991447B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(Dashboard!$G$36,Dashboard!$G$37)</c:f>
              <c:strCache>
                <c:ptCount val="2"/>
                <c:pt idx="0">
                  <c:v>Aggressive</c:v>
                </c:pt>
                <c:pt idx="1">
                  <c:v>Conservative</c:v>
                </c:pt>
              </c:strCache>
            </c:strRef>
          </c:cat>
          <c:val>
            <c:numRef>
              <c:f>(Dashboard!$L$36,Dashboard!$L$37)</c:f>
              <c:numCache>
                <c:formatCode>0.00%</c:formatCode>
                <c:ptCount val="2"/>
                <c:pt idx="0">
                  <c:v>0.09</c:v>
                </c:pt>
                <c:pt idx="1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76-42BB-AADE-30F991447BC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951575295"/>
        <c:axId val="1951570015"/>
        <c:axId val="0"/>
      </c:bar3DChart>
      <c:catAx>
        <c:axId val="1951575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570015"/>
        <c:crosses val="autoZero"/>
        <c:auto val="1"/>
        <c:lblAlgn val="ctr"/>
        <c:lblOffset val="100"/>
        <c:noMultiLvlLbl val="0"/>
      </c:catAx>
      <c:valAx>
        <c:axId val="195157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575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blurRad="50800" dist="38100" dir="8100000" algn="tr" rotWithShape="0">
        <a:prstClr val="black">
          <a:alpha val="40000"/>
        </a:prstClr>
      </a:outerShdw>
      <a:softEdge rad="3175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Savings/ROI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7499999999999994E-2"/>
          <c:y val="0.21676800816564595"/>
          <c:w val="0.81388888888888888"/>
          <c:h val="0.56488954505686784"/>
        </c:manualLayout>
      </c:layout>
      <c:pie3DChart>
        <c:varyColors val="1"/>
        <c:ser>
          <c:idx val="0"/>
          <c:order val="0"/>
          <c:explosion val="29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40F1-45D9-B1CE-D43969EAA63A}"/>
              </c:ext>
            </c:extLst>
          </c:dPt>
          <c:dPt>
            <c:idx val="1"/>
            <c:bubble3D val="0"/>
            <c:explosion val="5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B18F-4BC8-9DA2-0D51EFB5AF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(Dashboard!$G$36,Dashboard!$G$37)</c:f>
              <c:strCache>
                <c:ptCount val="2"/>
                <c:pt idx="0">
                  <c:v>Aggressive</c:v>
                </c:pt>
                <c:pt idx="1">
                  <c:v>Conservative</c:v>
                </c:pt>
              </c:strCache>
            </c:strRef>
          </c:cat>
          <c:val>
            <c:numRef>
              <c:f>(Dashboard!$N$36,Dashboard!$N$37)</c:f>
              <c:numCache>
                <c:formatCode>General</c:formatCode>
                <c:ptCount val="2"/>
                <c:pt idx="0">
                  <c:v>28590.842185143814</c:v>
                </c:pt>
                <c:pt idx="1">
                  <c:v>13805.897739415081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F-4BC8-9DA2-0D51EFB5AFE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>
          <a:softEdge rad="63500"/>
        </a:effec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blurRad="50800" dist="38100" dir="2700000" algn="tl" rotWithShape="0">
        <a:prstClr val="black">
          <a:alpha val="40000"/>
        </a:prstClr>
      </a:outerShdw>
      <a:softEdge rad="3175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Spin" dx="26" fmlaLink="$D$9" max="50" page="10" val="10"/>
</file>

<file path=xl/ctrlProps/ctrlProp2.xml><?xml version="1.0" encoding="utf-8"?>
<formControlPr xmlns="http://schemas.microsoft.com/office/spreadsheetml/2009/9/main" objectType="Spin" dx="26" fmlaLink="$D$9" max="50" page="10" val="10"/>
</file>

<file path=xl/ctrlProps/ctrlProp3.xml><?xml version="1.0" encoding="utf-8"?>
<formControlPr xmlns="http://schemas.microsoft.com/office/spreadsheetml/2009/9/main" objectType="Spin" dx="26" fmlaLink="$D$9" max="50" page="10" val="10"/>
</file>

<file path=xl/ctrlProps/ctrlProp4.xml><?xml version="1.0" encoding="utf-8"?>
<formControlPr xmlns="http://schemas.microsoft.com/office/spreadsheetml/2009/9/main" objectType="Spin" dx="26" fmlaLink="$D$9" max="50" page="10" val="10"/>
</file>

<file path=xl/ctrlProps/ctrlProp5.xml><?xml version="1.0" encoding="utf-8"?>
<formControlPr xmlns="http://schemas.microsoft.com/office/spreadsheetml/2009/9/main" objectType="Spin" dx="26" fmlaLink="$D$9" max="50" page="10" val="10"/>
</file>

<file path=xl/ctrlProps/ctrlProp6.xml><?xml version="1.0" encoding="utf-8"?>
<formControlPr xmlns="http://schemas.microsoft.com/office/spreadsheetml/2009/9/main" objectType="Spin" dx="26" fmlaLink="$N$9" max="50" page="10" val="1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Comparison!A1"/><Relationship Id="rId2" Type="http://schemas.openxmlformats.org/officeDocument/2006/relationships/hyperlink" Target="#'Concept Notes'!A1"/><Relationship Id="rId1" Type="http://schemas.openxmlformats.org/officeDocument/2006/relationships/hyperlink" Target="#Calculations!A1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hyperlink" Target="#'Audit Report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Audit Report'!A1"/><Relationship Id="rId2" Type="http://schemas.openxmlformats.org/officeDocument/2006/relationships/hyperlink" Target="#Comparison!A1"/><Relationship Id="rId1" Type="http://schemas.openxmlformats.org/officeDocument/2006/relationships/hyperlink" Target="#Dashboard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Audit Report'!A1"/><Relationship Id="rId2" Type="http://schemas.openxmlformats.org/officeDocument/2006/relationships/hyperlink" Target="#Dashboard!A1"/><Relationship Id="rId1" Type="http://schemas.openxmlformats.org/officeDocument/2006/relationships/hyperlink" Target="#Calculations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Calculations!A1"/><Relationship Id="rId2" Type="http://schemas.openxmlformats.org/officeDocument/2006/relationships/hyperlink" Target="#Comparison!A1"/><Relationship Id="rId1" Type="http://schemas.openxmlformats.org/officeDocument/2006/relationships/hyperlink" Target="#Dashboard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484911</xdr:colOff>
      <xdr:row>11</xdr:row>
      <xdr:rowOff>15396</xdr:rowOff>
    </xdr:from>
    <xdr:to>
      <xdr:col>11</xdr:col>
      <xdr:colOff>354061</xdr:colOff>
      <xdr:row>19</xdr:row>
      <xdr:rowOff>115455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7C20DD16-65A1-ADC2-90F0-2D4FD3B3BE83}"/>
            </a:ext>
          </a:extLst>
        </xdr:cNvPr>
        <xdr:cNvSpPr/>
      </xdr:nvSpPr>
      <xdr:spPr>
        <a:xfrm>
          <a:off x="5241638" y="1677941"/>
          <a:ext cx="2247514" cy="1577878"/>
        </a:xfrm>
        <a:prstGeom prst="flowChartAlternateProcess">
          <a:avLst/>
        </a:prstGeom>
        <a:solidFill>
          <a:schemeClr val="accent1">
            <a:lumMod val="75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glow" dir="t">
            <a:rot lat="0" lon="0" rev="14100000"/>
          </a:lightRig>
        </a:scene3d>
        <a:sp3d prstMaterial="softEdge">
          <a:bevelT w="127000" prst="artDeco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isometricLeftDown"/>
            <a:lightRig rig="threePt" dir="t"/>
          </a:scene3d>
        </a:bodyPr>
        <a:lstStyle/>
        <a:p>
          <a:pPr algn="ctr"/>
          <a:r>
            <a:rPr lang="en-IN" sz="1800">
              <a:effectLst>
                <a:outerShdw blurRad="60007" dist="310007" dir="7680000" sy="30000" kx="1300200" algn="ctr" rotWithShape="0">
                  <a:prstClr val="black">
                    <a:alpha val="32000"/>
                  </a:prst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INVESTMENT</a:t>
          </a:r>
          <a:r>
            <a:rPr lang="en-IN" sz="1800" baseline="0">
              <a:effectLst>
                <a:outerShdw blurRad="60007" dist="310007" dir="7680000" sy="30000" kx="1300200" algn="ctr" rotWithShape="0">
                  <a:prstClr val="black">
                    <a:alpha val="32000"/>
                  </a:prst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 algn="ctr"/>
          <a:r>
            <a:rPr lang="en-IN" sz="1800" baseline="0">
              <a:effectLst>
                <a:outerShdw blurRad="60007" dist="310007" dir="7680000" sy="30000" kx="1300200" algn="ctr" rotWithShape="0">
                  <a:prstClr val="black">
                    <a:alpha val="32000"/>
                  </a:prst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CALCULATOR</a:t>
          </a:r>
          <a:endParaRPr lang="en-IN" sz="1800">
            <a:effectLst>
              <a:outerShdw blurRad="60007" dist="310007" dir="7680000" sy="30000" kx="1300200" algn="ctr" rotWithShape="0">
                <a:prstClr val="black">
                  <a:alpha val="32000"/>
                </a:prst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500305</xdr:colOff>
      <xdr:row>14</xdr:row>
      <xdr:rowOff>92364</xdr:rowOff>
    </xdr:from>
    <xdr:to>
      <xdr:col>12</xdr:col>
      <xdr:colOff>66676</xdr:colOff>
      <xdr:row>16</xdr:row>
      <xdr:rowOff>46182</xdr:rowOff>
    </xdr:to>
    <xdr:sp macro="" textlink="">
      <xdr:nvSpPr>
        <xdr:cNvPr id="4" name="Arrow: Notched Right 3">
          <a:extLst>
            <a:ext uri="{FF2B5EF4-FFF2-40B4-BE49-F238E27FC236}">
              <a16:creationId xmlns:a16="http://schemas.microsoft.com/office/drawing/2014/main" id="{F567EBD3-5FE6-D613-925A-A6AC76F2C373}"/>
            </a:ext>
          </a:extLst>
        </xdr:cNvPr>
        <xdr:cNvSpPr/>
      </xdr:nvSpPr>
      <xdr:spPr>
        <a:xfrm>
          <a:off x="10692055" y="2626014"/>
          <a:ext cx="814146" cy="315768"/>
        </a:xfrm>
        <a:prstGeom prst="notch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800099</xdr:colOff>
      <xdr:row>14</xdr:row>
      <xdr:rowOff>98521</xdr:rowOff>
    </xdr:from>
    <xdr:to>
      <xdr:col>8</xdr:col>
      <xdr:colOff>314037</xdr:colOff>
      <xdr:row>16</xdr:row>
      <xdr:rowOff>52339</xdr:rowOff>
    </xdr:to>
    <xdr:sp macro="" textlink="">
      <xdr:nvSpPr>
        <xdr:cNvPr id="5" name="Arrow: Notched Right 4">
          <a:extLst>
            <a:ext uri="{FF2B5EF4-FFF2-40B4-BE49-F238E27FC236}">
              <a16:creationId xmlns:a16="http://schemas.microsoft.com/office/drawing/2014/main" id="{D6BD3237-439D-4CA7-93A6-C47D6E3C1E1D}"/>
            </a:ext>
          </a:extLst>
        </xdr:cNvPr>
        <xdr:cNvSpPr/>
      </xdr:nvSpPr>
      <xdr:spPr>
        <a:xfrm flipH="1">
          <a:off x="5324474" y="2632171"/>
          <a:ext cx="828388" cy="315768"/>
        </a:xfrm>
        <a:prstGeom prst="notch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685030</xdr:colOff>
      <xdr:row>20</xdr:row>
      <xdr:rowOff>98523</xdr:rowOff>
    </xdr:from>
    <xdr:to>
      <xdr:col>10</xdr:col>
      <xdr:colOff>215515</xdr:colOff>
      <xdr:row>23</xdr:row>
      <xdr:rowOff>98523</xdr:rowOff>
    </xdr:to>
    <xdr:sp macro="" textlink="">
      <xdr:nvSpPr>
        <xdr:cNvPr id="6" name="Arrow: Notched Right 5">
          <a:extLst>
            <a:ext uri="{FF2B5EF4-FFF2-40B4-BE49-F238E27FC236}">
              <a16:creationId xmlns:a16="http://schemas.microsoft.com/office/drawing/2014/main" id="{05E05118-DE2E-4C8F-A8EE-D5F48881A99B}"/>
            </a:ext>
          </a:extLst>
        </xdr:cNvPr>
        <xdr:cNvSpPr/>
      </xdr:nvSpPr>
      <xdr:spPr>
        <a:xfrm rot="5400000">
          <a:off x="6119091" y="3539068"/>
          <a:ext cx="554182" cy="323273"/>
        </a:xfrm>
        <a:prstGeom prst="notch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692728</xdr:colOff>
      <xdr:row>7</xdr:row>
      <xdr:rowOff>52342</xdr:rowOff>
    </xdr:from>
    <xdr:to>
      <xdr:col>10</xdr:col>
      <xdr:colOff>223213</xdr:colOff>
      <xdr:row>10</xdr:row>
      <xdr:rowOff>36948</xdr:rowOff>
    </xdr:to>
    <xdr:sp macro="" textlink="">
      <xdr:nvSpPr>
        <xdr:cNvPr id="7" name="Arrow: Notched Right 6">
          <a:extLst>
            <a:ext uri="{FF2B5EF4-FFF2-40B4-BE49-F238E27FC236}">
              <a16:creationId xmlns:a16="http://schemas.microsoft.com/office/drawing/2014/main" id="{D629C502-46C6-48F1-AE03-6DCD4A193E1C}"/>
            </a:ext>
          </a:extLst>
        </xdr:cNvPr>
        <xdr:cNvSpPr/>
      </xdr:nvSpPr>
      <xdr:spPr>
        <a:xfrm rot="16200000">
          <a:off x="6134486" y="1083735"/>
          <a:ext cx="538788" cy="323273"/>
        </a:xfrm>
        <a:prstGeom prst="notch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150379</xdr:colOff>
      <xdr:row>12</xdr:row>
      <xdr:rowOff>138545</xdr:rowOff>
    </xdr:from>
    <xdr:to>
      <xdr:col>13</xdr:col>
      <xdr:colOff>342803</xdr:colOff>
      <xdr:row>17</xdr:row>
      <xdr:rowOff>161636</xdr:rowOff>
    </xdr:to>
    <xdr:sp macro="" textlink="">
      <xdr:nvSpPr>
        <xdr:cNvPr id="8" name="Flowchart: Delay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A128EA-E72A-8023-DD10-80E3EAEEB208}"/>
            </a:ext>
          </a:extLst>
        </xdr:cNvPr>
        <xdr:cNvSpPr/>
      </xdr:nvSpPr>
      <xdr:spPr>
        <a:xfrm>
          <a:off x="11589904" y="2310245"/>
          <a:ext cx="1192549" cy="927966"/>
        </a:xfrm>
        <a:prstGeom prst="flowChartDelay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Calculation</a:t>
          </a:r>
        </a:p>
      </xdr:txBody>
    </xdr:sp>
    <xdr:clientData/>
  </xdr:twoCellAnchor>
  <xdr:twoCellAnchor>
    <xdr:from>
      <xdr:col>6</xdr:col>
      <xdr:colOff>490200</xdr:colOff>
      <xdr:row>13</xdr:row>
      <xdr:rowOff>5869</xdr:rowOff>
    </xdr:from>
    <xdr:to>
      <xdr:col>7</xdr:col>
      <xdr:colOff>682625</xdr:colOff>
      <xdr:row>18</xdr:row>
      <xdr:rowOff>25208</xdr:rowOff>
    </xdr:to>
    <xdr:sp macro="" textlink="">
      <xdr:nvSpPr>
        <xdr:cNvPr id="9" name="Flowchart: Delay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7AE540-E915-4897-810C-BED3F6938E65}"/>
            </a:ext>
          </a:extLst>
        </xdr:cNvPr>
        <xdr:cNvSpPr/>
      </xdr:nvSpPr>
      <xdr:spPr>
        <a:xfrm rot="10800000">
          <a:off x="3928725" y="2358544"/>
          <a:ext cx="1278275" cy="924214"/>
        </a:xfrm>
        <a:prstGeom prst="flowChartDelay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9</xdr:col>
      <xdr:colOff>362526</xdr:colOff>
      <xdr:row>24</xdr:row>
      <xdr:rowOff>70044</xdr:rowOff>
    </xdr:from>
    <xdr:to>
      <xdr:col>10</xdr:col>
      <xdr:colOff>516465</xdr:colOff>
      <xdr:row>30</xdr:row>
      <xdr:rowOff>49481</xdr:rowOff>
    </xdr:to>
    <xdr:sp macro="" textlink="">
      <xdr:nvSpPr>
        <xdr:cNvPr id="10" name="Flowchart: Delay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BBD6F3-2549-4B8F-806D-2D422009CDEA}"/>
            </a:ext>
          </a:extLst>
        </xdr:cNvPr>
        <xdr:cNvSpPr/>
      </xdr:nvSpPr>
      <xdr:spPr>
        <a:xfrm rot="5400000">
          <a:off x="6941622" y="4396455"/>
          <a:ext cx="1048216" cy="945627"/>
        </a:xfrm>
        <a:prstGeom prst="flowChartDelay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9</xdr:col>
      <xdr:colOff>365608</xdr:colOff>
      <xdr:row>1</xdr:row>
      <xdr:rowOff>46184</xdr:rowOff>
    </xdr:from>
    <xdr:to>
      <xdr:col>10</xdr:col>
      <xdr:colOff>519547</xdr:colOff>
      <xdr:row>6</xdr:row>
      <xdr:rowOff>107759</xdr:rowOff>
    </xdr:to>
    <xdr:sp macro="" textlink="">
      <xdr:nvSpPr>
        <xdr:cNvPr id="11" name="Flowchart: Delay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107B9FE-7DAB-4CE2-9DC5-42BE0B1532BD}"/>
            </a:ext>
          </a:extLst>
        </xdr:cNvPr>
        <xdr:cNvSpPr/>
      </xdr:nvSpPr>
      <xdr:spPr>
        <a:xfrm rot="16200000">
          <a:off x="5895881" y="250153"/>
          <a:ext cx="985212" cy="946727"/>
        </a:xfrm>
        <a:prstGeom prst="flowChartDelay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6</xdr:col>
      <xdr:colOff>640660</xdr:colOff>
      <xdr:row>14</xdr:row>
      <xdr:rowOff>33130</xdr:rowOff>
    </xdr:from>
    <xdr:to>
      <xdr:col>7</xdr:col>
      <xdr:colOff>519182</xdr:colOff>
      <xdr:row>16</xdr:row>
      <xdr:rowOff>132522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4D26B4D-DC4A-8EB4-9DCB-383B61BD3A73}"/>
            </a:ext>
          </a:extLst>
        </xdr:cNvPr>
        <xdr:cNvSpPr txBox="1"/>
      </xdr:nvSpPr>
      <xdr:spPr>
        <a:xfrm>
          <a:off x="4079185" y="2566780"/>
          <a:ext cx="964372" cy="461342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tx2">
              <a:lumMod val="25000"/>
              <a:lumOff val="75000"/>
            </a:schemeClr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bg1"/>
              </a:solidFill>
            </a:rPr>
            <a:t>Concept Notes</a:t>
          </a:r>
        </a:p>
      </xdr:txBody>
    </xdr:sp>
    <xdr:clientData/>
  </xdr:twoCellAnchor>
  <xdr:twoCellAnchor>
    <xdr:from>
      <xdr:col>13</xdr:col>
      <xdr:colOff>671946</xdr:colOff>
      <xdr:row>8</xdr:row>
      <xdr:rowOff>118135</xdr:rowOff>
    </xdr:from>
    <xdr:to>
      <xdr:col>19</xdr:col>
      <xdr:colOff>189758</xdr:colOff>
      <xdr:row>24</xdr:row>
      <xdr:rowOff>11257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93ED359-AD7E-3069-01F9-DA6D8C8A3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628650</xdr:colOff>
      <xdr:row>9</xdr:row>
      <xdr:rowOff>77808</xdr:rowOff>
    </xdr:from>
    <xdr:to>
      <xdr:col>6</xdr:col>
      <xdr:colOff>175037</xdr:colOff>
      <xdr:row>24</xdr:row>
      <xdr:rowOff>149060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7830CC6-D34A-423B-F7F1-9AEE0A70B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371060</xdr:colOff>
      <xdr:row>25</xdr:row>
      <xdr:rowOff>139148</xdr:rowOff>
    </xdr:from>
    <xdr:to>
      <xdr:col>10</xdr:col>
      <xdr:colOff>408608</xdr:colOff>
      <xdr:row>27</xdr:row>
      <xdr:rowOff>143565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F3045B0-28BD-61F4-7CCA-44731A64EAAE}"/>
            </a:ext>
          </a:extLst>
        </xdr:cNvPr>
        <xdr:cNvSpPr txBox="1"/>
      </xdr:nvSpPr>
      <xdr:spPr>
        <a:xfrm>
          <a:off x="8620538" y="4832626"/>
          <a:ext cx="832679" cy="379896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tx2">
              <a:lumMod val="25000"/>
              <a:lumOff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>
              <a:solidFill>
                <a:schemeClr val="bg1"/>
              </a:solidFill>
            </a:rPr>
            <a:t>Comparison</a:t>
          </a:r>
        </a:p>
      </xdr:txBody>
    </xdr:sp>
    <xdr:clientData/>
  </xdr:twoCellAnchor>
  <xdr:twoCellAnchor>
    <xdr:from>
      <xdr:col>9</xdr:col>
      <xdr:colOff>485913</xdr:colOff>
      <xdr:row>3</xdr:row>
      <xdr:rowOff>55218</xdr:rowOff>
    </xdr:from>
    <xdr:to>
      <xdr:col>10</xdr:col>
      <xdr:colOff>485913</xdr:colOff>
      <xdr:row>5</xdr:row>
      <xdr:rowOff>143565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8D04336-38E3-99C5-378F-94ACA1149314}"/>
            </a:ext>
          </a:extLst>
        </xdr:cNvPr>
        <xdr:cNvSpPr txBox="1"/>
      </xdr:nvSpPr>
      <xdr:spPr>
        <a:xfrm>
          <a:off x="8735391" y="618435"/>
          <a:ext cx="795131" cy="463826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solidFill>
            <a:schemeClr val="tx2">
              <a:lumMod val="25000"/>
              <a:lumOff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>
              <a:solidFill>
                <a:schemeClr val="bg1"/>
              </a:solidFill>
            </a:rPr>
            <a:t>Audit Report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12700</xdr:colOff>
          <xdr:row>8</xdr:row>
          <xdr:rowOff>12700</xdr:rowOff>
        </xdr:from>
        <xdr:to>
          <xdr:col>3</xdr:col>
          <xdr:colOff>482600</xdr:colOff>
          <xdr:row>8</xdr:row>
          <xdr:rowOff>177800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12700</xdr:colOff>
          <xdr:row>8</xdr:row>
          <xdr:rowOff>12700</xdr:rowOff>
        </xdr:from>
        <xdr:to>
          <xdr:col>3</xdr:col>
          <xdr:colOff>482600</xdr:colOff>
          <xdr:row>8</xdr:row>
          <xdr:rowOff>177800</xdr:rowOff>
        </xdr:to>
        <xdr:sp macro="" textlink="">
          <xdr:nvSpPr>
            <xdr:cNvPr id="1026" name="Spinne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12700</xdr:colOff>
          <xdr:row>8</xdr:row>
          <xdr:rowOff>12700</xdr:rowOff>
        </xdr:from>
        <xdr:to>
          <xdr:col>13</xdr:col>
          <xdr:colOff>482600</xdr:colOff>
          <xdr:row>8</xdr:row>
          <xdr:rowOff>177800</xdr:rowOff>
        </xdr:to>
        <xdr:sp macro="" textlink="">
          <xdr:nvSpPr>
            <xdr:cNvPr id="1034" name="Spinner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1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12700</xdr:colOff>
          <xdr:row>8</xdr:row>
          <xdr:rowOff>12700</xdr:rowOff>
        </xdr:from>
        <xdr:to>
          <xdr:col>13</xdr:col>
          <xdr:colOff>482600</xdr:colOff>
          <xdr:row>8</xdr:row>
          <xdr:rowOff>177800</xdr:rowOff>
        </xdr:to>
        <xdr:sp macro="" textlink="">
          <xdr:nvSpPr>
            <xdr:cNvPr id="1035" name="Spinner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1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12700</xdr:colOff>
          <xdr:row>8</xdr:row>
          <xdr:rowOff>12700</xdr:rowOff>
        </xdr:from>
        <xdr:to>
          <xdr:col>13</xdr:col>
          <xdr:colOff>482600</xdr:colOff>
          <xdr:row>8</xdr:row>
          <xdr:rowOff>177800</xdr:rowOff>
        </xdr:to>
        <xdr:sp macro="" textlink="">
          <xdr:nvSpPr>
            <xdr:cNvPr id="1036" name="Spinner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1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12700</xdr:colOff>
          <xdr:row>8</xdr:row>
          <xdr:rowOff>12700</xdr:rowOff>
        </xdr:from>
        <xdr:to>
          <xdr:col>13</xdr:col>
          <xdr:colOff>482600</xdr:colOff>
          <xdr:row>8</xdr:row>
          <xdr:rowOff>177800</xdr:rowOff>
        </xdr:to>
        <xdr:sp macro="" textlink="">
          <xdr:nvSpPr>
            <xdr:cNvPr id="1037" name="Spinner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1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597870</xdr:colOff>
      <xdr:row>21</xdr:row>
      <xdr:rowOff>145722</xdr:rowOff>
    </xdr:from>
    <xdr:to>
      <xdr:col>9</xdr:col>
      <xdr:colOff>179455</xdr:colOff>
      <xdr:row>25</xdr:row>
      <xdr:rowOff>79967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D3B80-2726-40DC-B436-2109523079D7}"/>
            </a:ext>
          </a:extLst>
        </xdr:cNvPr>
        <xdr:cNvSpPr/>
      </xdr:nvSpPr>
      <xdr:spPr>
        <a:xfrm>
          <a:off x="6060297" y="4092711"/>
          <a:ext cx="1413810" cy="65343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/>
            <a:t>DASHBOARD</a:t>
          </a:r>
        </a:p>
      </xdr:txBody>
    </xdr:sp>
    <xdr:clientData/>
  </xdr:twoCellAnchor>
  <xdr:twoCellAnchor>
    <xdr:from>
      <xdr:col>5</xdr:col>
      <xdr:colOff>174146</xdr:colOff>
      <xdr:row>21</xdr:row>
      <xdr:rowOff>121920</xdr:rowOff>
    </xdr:from>
    <xdr:to>
      <xdr:col>7</xdr:col>
      <xdr:colOff>449323</xdr:colOff>
      <xdr:row>25</xdr:row>
      <xdr:rowOff>56165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7AB2FB5-66E4-4A43-A8BD-095828BB2FA3}"/>
            </a:ext>
          </a:extLst>
        </xdr:cNvPr>
        <xdr:cNvSpPr/>
      </xdr:nvSpPr>
      <xdr:spPr>
        <a:xfrm>
          <a:off x="4403674" y="4068909"/>
          <a:ext cx="1508076" cy="65343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/>
            <a:t>COMPARISON</a:t>
          </a:r>
        </a:p>
      </xdr:txBody>
    </xdr:sp>
    <xdr:clientData/>
  </xdr:twoCellAnchor>
  <xdr:twoCellAnchor>
    <xdr:from>
      <xdr:col>9</xdr:col>
      <xdr:colOff>220980</xdr:colOff>
      <xdr:row>14</xdr:row>
      <xdr:rowOff>121920</xdr:rowOff>
    </xdr:from>
    <xdr:to>
      <xdr:col>11</xdr:col>
      <xdr:colOff>403860</xdr:colOff>
      <xdr:row>18</xdr:row>
      <xdr:rowOff>30480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7D33E10-F94A-41ED-AA32-DF61C81ECFFB}"/>
            </a:ext>
          </a:extLst>
        </xdr:cNvPr>
        <xdr:cNvSpPr/>
      </xdr:nvSpPr>
      <xdr:spPr>
        <a:xfrm>
          <a:off x="7124700" y="2720340"/>
          <a:ext cx="1417320" cy="6629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/>
            <a:t>AUDIT</a:t>
          </a:r>
          <a:r>
            <a:rPr lang="en-IN" sz="1400" baseline="0"/>
            <a:t> REPORT</a:t>
          </a:r>
          <a:endParaRPr lang="en-IN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147052</xdr:colOff>
      <xdr:row>3</xdr:row>
      <xdr:rowOff>6684</xdr:rowOff>
    </xdr:from>
    <xdr:to>
      <xdr:col>7</xdr:col>
      <xdr:colOff>434474</xdr:colOff>
      <xdr:row>6</xdr:row>
      <xdr:rowOff>167105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1C3B69-6D94-A525-1DF9-8C4EB5CA83DB}"/>
            </a:ext>
          </a:extLst>
        </xdr:cNvPr>
        <xdr:cNvSpPr/>
      </xdr:nvSpPr>
      <xdr:spPr>
        <a:xfrm>
          <a:off x="4672263" y="548105"/>
          <a:ext cx="1517316" cy="768684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/>
            <a:t>Calculations</a:t>
          </a:r>
        </a:p>
      </xdr:txBody>
    </xdr:sp>
    <xdr:clientData/>
  </xdr:twoCellAnchor>
  <xdr:twoCellAnchor>
    <xdr:from>
      <xdr:col>5</xdr:col>
      <xdr:colOff>145715</xdr:colOff>
      <xdr:row>7</xdr:row>
      <xdr:rowOff>105611</xdr:rowOff>
    </xdr:from>
    <xdr:to>
      <xdr:col>7</xdr:col>
      <xdr:colOff>433137</xdr:colOff>
      <xdr:row>11</xdr:row>
      <xdr:rowOff>98926</xdr:rowOff>
    </xdr:to>
    <xdr:sp macro="" textlink="">
      <xdr:nvSpPr>
        <xdr:cNvPr id="3" name="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9FA771D-BA2E-4D75-B134-23844BD77DF3}"/>
            </a:ext>
          </a:extLst>
        </xdr:cNvPr>
        <xdr:cNvSpPr/>
      </xdr:nvSpPr>
      <xdr:spPr>
        <a:xfrm>
          <a:off x="4670926" y="1449137"/>
          <a:ext cx="1517316" cy="768684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/>
            <a:t>Dashboard</a:t>
          </a:r>
        </a:p>
      </xdr:txBody>
    </xdr:sp>
    <xdr:clientData/>
  </xdr:twoCellAnchor>
  <xdr:twoCellAnchor>
    <xdr:from>
      <xdr:col>4</xdr:col>
      <xdr:colOff>808790</xdr:colOff>
      <xdr:row>12</xdr:row>
      <xdr:rowOff>120315</xdr:rowOff>
    </xdr:from>
    <xdr:to>
      <xdr:col>8</xdr:col>
      <xdr:colOff>280737</xdr:colOff>
      <xdr:row>18</xdr:row>
      <xdr:rowOff>46787</xdr:rowOff>
    </xdr:to>
    <xdr:sp macro="" textlink="">
      <xdr:nvSpPr>
        <xdr:cNvPr id="5" name="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D12D082-A7FD-4B0A-BEDA-DBE4DF116712}"/>
            </a:ext>
          </a:extLst>
        </xdr:cNvPr>
        <xdr:cNvSpPr/>
      </xdr:nvSpPr>
      <xdr:spPr>
        <a:xfrm>
          <a:off x="4231106" y="2419683"/>
          <a:ext cx="2419684" cy="1009315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/>
            <a:t>Audit</a:t>
          </a:r>
          <a:r>
            <a:rPr lang="en-IN" sz="1600" baseline="0"/>
            <a:t> Report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209826</xdr:colOff>
      <xdr:row>7</xdr:row>
      <xdr:rowOff>138044</xdr:rowOff>
    </xdr:from>
    <xdr:to>
      <xdr:col>5</xdr:col>
      <xdr:colOff>601870</xdr:colOff>
      <xdr:row>10</xdr:row>
      <xdr:rowOff>143567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EA0971-E5DA-B175-B926-071A055EA161}"/>
            </a:ext>
          </a:extLst>
        </xdr:cNvPr>
        <xdr:cNvSpPr/>
      </xdr:nvSpPr>
      <xdr:spPr>
        <a:xfrm>
          <a:off x="3390348" y="1413566"/>
          <a:ext cx="1187174" cy="56321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/>
            <a:t>DASHBOARD</a:t>
          </a:r>
        </a:p>
      </xdr:txBody>
    </xdr:sp>
    <xdr:clientData/>
  </xdr:twoCellAnchor>
  <xdr:twoCellAnchor>
    <xdr:from>
      <xdr:col>4</xdr:col>
      <xdr:colOff>204304</xdr:colOff>
      <xdr:row>11</xdr:row>
      <xdr:rowOff>127000</xdr:rowOff>
    </xdr:from>
    <xdr:to>
      <xdr:col>5</xdr:col>
      <xdr:colOff>596348</xdr:colOff>
      <xdr:row>14</xdr:row>
      <xdr:rowOff>143566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58BCF4A-A885-434F-932C-170772A9EFC7}"/>
            </a:ext>
          </a:extLst>
        </xdr:cNvPr>
        <xdr:cNvSpPr/>
      </xdr:nvSpPr>
      <xdr:spPr>
        <a:xfrm>
          <a:off x="3384826" y="2142435"/>
          <a:ext cx="1187174" cy="56321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/>
            <a:t>COMPARISON</a:t>
          </a:r>
        </a:p>
      </xdr:txBody>
    </xdr:sp>
    <xdr:clientData/>
  </xdr:twoCellAnchor>
  <xdr:twoCellAnchor>
    <xdr:from>
      <xdr:col>4</xdr:col>
      <xdr:colOff>213139</xdr:colOff>
      <xdr:row>3</xdr:row>
      <xdr:rowOff>135836</xdr:rowOff>
    </xdr:from>
    <xdr:to>
      <xdr:col>5</xdr:col>
      <xdr:colOff>605183</xdr:colOff>
      <xdr:row>6</xdr:row>
      <xdr:rowOff>152402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051A40C-C939-444C-8F87-A55126C8D56C}"/>
            </a:ext>
          </a:extLst>
        </xdr:cNvPr>
        <xdr:cNvSpPr/>
      </xdr:nvSpPr>
      <xdr:spPr>
        <a:xfrm>
          <a:off x="3393661" y="682488"/>
          <a:ext cx="1187174" cy="56321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/>
            <a:t>CALCULATION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236220</xdr:colOff>
      <xdr:row>10</xdr:row>
      <xdr:rowOff>38100</xdr:rowOff>
    </xdr:from>
    <xdr:to>
      <xdr:col>4</xdr:col>
      <xdr:colOff>472440</xdr:colOff>
      <xdr:row>15</xdr:row>
      <xdr:rowOff>76200</xdr:rowOff>
    </xdr:to>
    <xdr:sp macro="" textlink="">
      <xdr:nvSpPr>
        <xdr:cNvPr id="2" name="Ov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488208-81FC-F6B0-9FAD-32FA22203DF1}"/>
            </a:ext>
          </a:extLst>
        </xdr:cNvPr>
        <xdr:cNvSpPr/>
      </xdr:nvSpPr>
      <xdr:spPr>
        <a:xfrm>
          <a:off x="845820" y="1920240"/>
          <a:ext cx="2552700" cy="98298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/>
            <a:t>DASHBOARD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Downloads\Group%208_Invesment%20Calculator.xlsx" TargetMode="External"/><Relationship Id="rId1" Type="http://schemas.openxmlformats.org/officeDocument/2006/relationships/externalLinkPath" Target="/Users/Acer/Downloads/Group%208_Invesment%20Calcula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Instructions and Assumption"/>
      <sheetName val="Investor Profile"/>
      <sheetName val="Calculations"/>
      <sheetName val="Comparision"/>
      <sheetName val="Audit Sheet"/>
    </sheetNames>
    <sheetDataSet>
      <sheetData sheetId="0" refreshError="1"/>
      <sheetData sheetId="1" refreshError="1"/>
      <sheetData sheetId="2" refreshError="1"/>
      <sheetData sheetId="3">
        <row r="12">
          <cell r="H12">
            <v>13621599.750861706</v>
          </cell>
        </row>
      </sheetData>
      <sheetData sheetId="4" refreshError="1"/>
      <sheetData sheetId="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9FAB6B-C0AE-7C43-BA09-F9744272BEEB}" name="Table1" displayName="Table1" ref="C9:D12" headerRowCount="0" totalsRowShown="0" headerRowDxfId="5" dataDxfId="4">
  <tableColumns count="2">
    <tableColumn id="1" xr3:uid="{3599AD2C-5788-3F44-81E5-7AE094A76DEF}" name="Sheet" headerRowDxfId="3" dataDxfId="2"/>
    <tableColumn id="2" xr3:uid="{0CC44D60-B86D-1843-B6E7-78904029D4FA}" name="Error" headerRowDxfId="1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AA246-958D-EA46-9E8B-5E9704617FA7}">
  <dimension ref="A1:O37"/>
  <sheetViews>
    <sheetView showGridLines="0" tabSelected="1" zoomScale="69" zoomScaleNormal="99" workbookViewId="0"/>
  </sheetViews>
  <sheetFormatPr defaultColWidth="11.54296875" defaultRowHeight="14" x14ac:dyDescent="0.25"/>
  <cols>
    <col min="6" max="6" width="15.54296875" customWidth="1"/>
    <col min="7" max="7" width="15.90625" customWidth="1"/>
    <col min="8" max="8" width="19.08984375" customWidth="1"/>
    <col min="11" max="11" width="17.36328125" customWidth="1"/>
    <col min="12" max="12" width="18.1796875" customWidth="1"/>
    <col min="13" max="13" width="14.54296875" customWidth="1"/>
    <col min="14" max="14" width="15.81640625" bestFit="1" customWidth="1"/>
    <col min="15" max="15" width="11.6328125" bestFit="1" customWidth="1"/>
  </cols>
  <sheetData>
    <row r="1" spans="1:1" x14ac:dyDescent="0.25">
      <c r="A1" cm="1">
        <f t="array" ref="A1">SUM(IF(ISERROR(A3:B7),1,0))</f>
        <v>0</v>
      </c>
    </row>
    <row r="28" spans="12:12" ht="15" x14ac:dyDescent="0.35">
      <c r="L28" s="46">
        <f>'Audit Report'!D12</f>
        <v>0</v>
      </c>
    </row>
    <row r="35" spans="6:15" ht="15" x14ac:dyDescent="0.35">
      <c r="F35" s="57" t="s">
        <v>34</v>
      </c>
      <c r="G35" s="26" t="s">
        <v>35</v>
      </c>
      <c r="H35" s="56" t="s">
        <v>10</v>
      </c>
      <c r="I35" s="56"/>
      <c r="J35" s="56"/>
      <c r="K35" s="28" t="s">
        <v>34</v>
      </c>
      <c r="L35" s="28" t="s">
        <v>40</v>
      </c>
      <c r="M35" s="27" t="s">
        <v>8</v>
      </c>
      <c r="N35" s="28" t="s">
        <v>36</v>
      </c>
      <c r="O35" s="33"/>
    </row>
    <row r="36" spans="6:15" ht="14.5" x14ac:dyDescent="0.25">
      <c r="F36" s="57"/>
      <c r="G36" s="29" t="s">
        <v>3</v>
      </c>
      <c r="H36" s="54" t="str">
        <f>Calculations!D10</f>
        <v>Real Estate</v>
      </c>
      <c r="I36" s="55"/>
      <c r="J36" s="55"/>
      <c r="K36" s="29">
        <f>Calculations!D8</f>
        <v>200000</v>
      </c>
      <c r="L36" s="30">
        <f>Calculations!D12</f>
        <v>0.09</v>
      </c>
      <c r="M36" s="31">
        <f>Calculations!D9</f>
        <v>10</v>
      </c>
      <c r="N36" s="32">
        <f>Savings</f>
        <v>28590.842185143814</v>
      </c>
      <c r="O36" s="34"/>
    </row>
    <row r="37" spans="6:15" ht="14.5" x14ac:dyDescent="0.25">
      <c r="F37" s="57"/>
      <c r="G37" s="29" t="s">
        <v>5</v>
      </c>
      <c r="H37" s="54" t="str">
        <f>Calculations!N10</f>
        <v>Mutual Funds</v>
      </c>
      <c r="I37" s="55"/>
      <c r="J37" s="55"/>
      <c r="K37" s="29">
        <f>Calculations!N8</f>
        <v>200000</v>
      </c>
      <c r="L37" s="30">
        <f>Calculations!D16</f>
        <v>0.08</v>
      </c>
      <c r="M37" s="31">
        <f>Calculations!N9</f>
        <v>10</v>
      </c>
      <c r="N37" s="32">
        <f>Comparison!J11</f>
        <v>13805.897739415081</v>
      </c>
      <c r="O37" s="34"/>
    </row>
  </sheetData>
  <mergeCells count="4">
    <mergeCell ref="H37:J37"/>
    <mergeCell ref="H35:J35"/>
    <mergeCell ref="H36:J36"/>
    <mergeCell ref="F35:F37"/>
  </mergeCells>
  <conditionalFormatting sqref="L28">
    <cfRule type="iconSet" priority="1">
      <iconSet iconSet="3Flags" showValue="0" reverse="1">
        <cfvo type="percent" val="0"/>
        <cfvo type="num" val="0"/>
        <cfvo type="num" val="0" gte="0"/>
      </iconSet>
    </cfRule>
    <cfRule type="iconSet" priority="2">
      <iconSet iconSet="3Flags" reverse="1">
        <cfvo type="percent" val="0"/>
        <cfvo type="num" val="0"/>
        <cfvo type="num" val="0" gte="0"/>
      </iconSet>
    </cfRule>
  </conditionalFormatting>
  <hyperlinks>
    <hyperlink ref="L28" location="'Audit Report'!A1" display="'Audit Report'!A1" xr:uid="{059779FB-F392-4ECF-B92A-FF2EAA0CD174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U24"/>
  <sheetViews>
    <sheetView topLeftCell="B6" zoomScale="89" zoomScaleNormal="100" workbookViewId="0">
      <selection activeCell="N10" sqref="N10"/>
    </sheetView>
  </sheetViews>
  <sheetFormatPr defaultColWidth="9" defaultRowHeight="14" x14ac:dyDescent="0.25"/>
  <cols>
    <col min="3" max="3" width="18.81640625" bestFit="1" customWidth="1"/>
    <col min="4" max="4" width="14.90625" bestFit="1" customWidth="1"/>
    <col min="5" max="5" width="10.08984375" customWidth="1"/>
    <col min="8" max="8" width="17.6328125" customWidth="1"/>
    <col min="13" max="13" width="21" customWidth="1"/>
    <col min="14" max="14" width="16" customWidth="1"/>
    <col min="15" max="15" width="10.453125" customWidth="1"/>
  </cols>
  <sheetData>
    <row r="2" spans="3:16" x14ac:dyDescent="0.25">
      <c r="E2" s="59" t="s">
        <v>0</v>
      </c>
      <c r="F2" s="60"/>
      <c r="G2" s="60"/>
      <c r="H2" s="60"/>
      <c r="I2" s="60"/>
      <c r="J2" s="60"/>
      <c r="K2" s="60"/>
      <c r="L2" s="60"/>
    </row>
    <row r="3" spans="3:16" x14ac:dyDescent="0.25">
      <c r="E3" s="60"/>
      <c r="F3" s="60"/>
      <c r="G3" s="60"/>
      <c r="H3" s="60"/>
      <c r="I3" s="60"/>
      <c r="J3" s="60"/>
      <c r="K3" s="60"/>
      <c r="L3" s="60"/>
    </row>
    <row r="6" spans="3:16" ht="18.5" x14ac:dyDescent="0.45">
      <c r="C6" s="58" t="s">
        <v>1</v>
      </c>
      <c r="D6" s="58"/>
      <c r="E6" s="58"/>
      <c r="M6" s="58" t="s">
        <v>1</v>
      </c>
      <c r="N6" s="58"/>
      <c r="O6" s="58"/>
    </row>
    <row r="7" spans="3:16" ht="15" x14ac:dyDescent="0.35">
      <c r="C7" s="9" t="s">
        <v>2</v>
      </c>
      <c r="D7" s="10" t="s">
        <v>5</v>
      </c>
      <c r="E7" s="11"/>
      <c r="H7" s="9" t="s">
        <v>4</v>
      </c>
      <c r="I7" s="11">
        <v>1</v>
      </c>
      <c r="J7" s="11">
        <v>12</v>
      </c>
      <c r="M7" s="9" t="s">
        <v>2</v>
      </c>
      <c r="N7" s="10" t="s">
        <v>5</v>
      </c>
      <c r="O7" s="11"/>
    </row>
    <row r="8" spans="3:16" ht="15" x14ac:dyDescent="0.35">
      <c r="C8" s="9" t="s">
        <v>43</v>
      </c>
      <c r="D8" s="20">
        <v>200000</v>
      </c>
      <c r="E8" s="11"/>
      <c r="H8" s="9" t="s">
        <v>7</v>
      </c>
      <c r="I8" s="11">
        <v>2</v>
      </c>
      <c r="J8" s="11">
        <v>6</v>
      </c>
      <c r="M8" s="9" t="s">
        <v>6</v>
      </c>
      <c r="N8" s="21">
        <v>200000</v>
      </c>
      <c r="O8" s="11"/>
    </row>
    <row r="9" spans="3:16" ht="15" x14ac:dyDescent="0.35">
      <c r="C9" s="9" t="s">
        <v>8</v>
      </c>
      <c r="D9" s="12">
        <v>10</v>
      </c>
      <c r="E9" s="11"/>
      <c r="H9" s="9" t="s">
        <v>9</v>
      </c>
      <c r="I9" s="11">
        <v>4</v>
      </c>
      <c r="J9" s="11">
        <v>3</v>
      </c>
      <c r="M9" s="9" t="s">
        <v>8</v>
      </c>
      <c r="N9" s="12">
        <v>10</v>
      </c>
      <c r="O9" s="11"/>
    </row>
    <row r="10" spans="3:16" ht="15" x14ac:dyDescent="0.35">
      <c r="C10" s="9" t="s">
        <v>41</v>
      </c>
      <c r="D10" s="13" t="s">
        <v>20</v>
      </c>
      <c r="E10" s="11"/>
      <c r="H10" s="9" t="s">
        <v>12</v>
      </c>
      <c r="I10" s="11">
        <v>12</v>
      </c>
      <c r="J10" s="11">
        <v>1</v>
      </c>
      <c r="M10" s="9" t="s">
        <v>10</v>
      </c>
      <c r="N10" s="13" t="s">
        <v>23</v>
      </c>
      <c r="O10" s="11"/>
    </row>
    <row r="11" spans="3:16" ht="15" x14ac:dyDescent="0.35">
      <c r="C11" s="9" t="s">
        <v>14</v>
      </c>
      <c r="D11" s="11" t="s">
        <v>4</v>
      </c>
      <c r="E11" s="11">
        <f>VLOOKUP(D11,$H$7:$J$10,2,0)</f>
        <v>1</v>
      </c>
      <c r="F11" s="11">
        <f>VLOOKUP(E11,$I$7:$J$10,2,0)</f>
        <v>12</v>
      </c>
      <c r="J11" s="16"/>
      <c r="M11" s="9" t="s">
        <v>14</v>
      </c>
      <c r="N11" s="11" t="s">
        <v>4</v>
      </c>
      <c r="O11" s="11">
        <f>VLOOKUP(N11,$H$7:$J$10,2,0)</f>
        <v>1</v>
      </c>
      <c r="P11" s="11">
        <f>VLOOKUP(O11,$I$7:$J$10,2,0)</f>
        <v>12</v>
      </c>
    </row>
    <row r="12" spans="3:16" ht="15" x14ac:dyDescent="0.35">
      <c r="C12" s="9" t="s">
        <v>15</v>
      </c>
      <c r="D12" s="14">
        <f>VLOOKUP(D10,H16:I18,2,0)</f>
        <v>0.09</v>
      </c>
      <c r="E12" s="10"/>
      <c r="H12" s="9" t="s">
        <v>16</v>
      </c>
      <c r="I12" s="9">
        <v>0</v>
      </c>
      <c r="J12" s="16"/>
      <c r="O12" s="10"/>
    </row>
    <row r="13" spans="3:16" ht="15" x14ac:dyDescent="0.35">
      <c r="C13" s="9" t="s">
        <v>17</v>
      </c>
      <c r="D13" s="11">
        <f>VLOOKUP(C13,H12:I13,2,0)</f>
        <v>1</v>
      </c>
      <c r="E13" s="11"/>
      <c r="H13" s="9" t="s">
        <v>17</v>
      </c>
      <c r="I13" s="9">
        <v>1</v>
      </c>
      <c r="M13" s="9" t="s">
        <v>16</v>
      </c>
      <c r="N13" s="11">
        <f>VLOOKUP(M13,H12:I13,2,0)</f>
        <v>0</v>
      </c>
      <c r="O13" s="11"/>
    </row>
    <row r="14" spans="3:16" ht="15" x14ac:dyDescent="0.35">
      <c r="C14" s="15" t="s">
        <v>18</v>
      </c>
      <c r="D14" s="1" t="s">
        <v>19</v>
      </c>
      <c r="E14" s="6"/>
      <c r="M14" s="15" t="s">
        <v>18</v>
      </c>
      <c r="N14" s="1" t="s">
        <v>19</v>
      </c>
      <c r="O14" s="6"/>
    </row>
    <row r="15" spans="3:16" ht="15" x14ac:dyDescent="0.35">
      <c r="C15" s="51" t="s">
        <v>42</v>
      </c>
      <c r="D15" t="s">
        <v>23</v>
      </c>
    </row>
    <row r="16" spans="3:16" ht="15" x14ac:dyDescent="0.35">
      <c r="C16" s="9" t="s">
        <v>15</v>
      </c>
      <c r="D16" s="17">
        <f>VLOOKUP(D15,M16:N18,2,0)</f>
        <v>0.08</v>
      </c>
      <c r="H16" s="24" t="s">
        <v>11</v>
      </c>
      <c r="I16" s="13">
        <v>0.1</v>
      </c>
      <c r="M16" s="9" t="s">
        <v>13</v>
      </c>
      <c r="N16" s="18">
        <v>6.7599999999999993E-2</v>
      </c>
    </row>
    <row r="17" spans="8:21" ht="15" x14ac:dyDescent="0.35">
      <c r="H17" s="24" t="s">
        <v>20</v>
      </c>
      <c r="I17" s="13">
        <v>0.09</v>
      </c>
      <c r="M17" s="9" t="s">
        <v>21</v>
      </c>
      <c r="N17" s="18">
        <v>6.5000000000000002E-2</v>
      </c>
    </row>
    <row r="18" spans="8:21" ht="15" x14ac:dyDescent="0.35">
      <c r="H18" s="24" t="s">
        <v>22</v>
      </c>
      <c r="I18" s="13">
        <v>0.28000000000000003</v>
      </c>
      <c r="M18" s="9" t="s">
        <v>23</v>
      </c>
      <c r="N18" s="13">
        <v>0.08</v>
      </c>
    </row>
    <row r="19" spans="8:21" ht="15" x14ac:dyDescent="0.35">
      <c r="H19" s="9" t="s">
        <v>13</v>
      </c>
      <c r="I19" s="18">
        <v>6.7599999999999993E-2</v>
      </c>
    </row>
    <row r="20" spans="8:21" ht="15" x14ac:dyDescent="0.35">
      <c r="H20" s="9" t="s">
        <v>21</v>
      </c>
      <c r="I20" s="18">
        <v>6.5000000000000002E-2</v>
      </c>
      <c r="T20">
        <v>1</v>
      </c>
    </row>
    <row r="21" spans="8:21" ht="15" x14ac:dyDescent="0.35">
      <c r="H21" s="9" t="s">
        <v>23</v>
      </c>
      <c r="I21" s="13">
        <v>0.08</v>
      </c>
      <c r="T21">
        <v>2</v>
      </c>
    </row>
    <row r="22" spans="8:21" x14ac:dyDescent="0.25">
      <c r="T22">
        <v>3</v>
      </c>
    </row>
    <row r="23" spans="8:21" x14ac:dyDescent="0.25">
      <c r="T23">
        <v>4</v>
      </c>
    </row>
    <row r="24" spans="8:21" ht="15" x14ac:dyDescent="0.35">
      <c r="T24" s="52"/>
      <c r="U24" s="52"/>
    </row>
  </sheetData>
  <mergeCells count="3">
    <mergeCell ref="C6:E6"/>
    <mergeCell ref="M6:O6"/>
    <mergeCell ref="E2:L3"/>
  </mergeCells>
  <dataValidations count="8">
    <dataValidation type="list" allowBlank="1" showInputMessage="1" showErrorMessage="1" sqref="D7" xr:uid="{00000000-0002-0000-0000-000000000000}">
      <formula1>"Aggressive,Conservative"</formula1>
    </dataValidation>
    <dataValidation type="list" allowBlank="1" showInputMessage="1" showErrorMessage="1" sqref="C8 M8 H9" xr:uid="{00000000-0002-0000-0000-000001000000}">
      <formula1>"FV,PV"</formula1>
    </dataValidation>
    <dataValidation type="list" allowBlank="1" showInputMessage="1" showErrorMessage="1" sqref="I8" xr:uid="{00000000-0002-0000-0000-000002000000}">
      <formula1>"Conservative, Aggressive"</formula1>
    </dataValidation>
    <dataValidation type="list" allowBlank="1" showInputMessage="1" showErrorMessage="1" sqref="D10" xr:uid="{00000000-0002-0000-0000-000003000000}">
      <formula1>$H$16:$H$18</formula1>
    </dataValidation>
    <dataValidation type="list" allowBlank="1" showInputMessage="1" showErrorMessage="1" sqref="N10 D15" xr:uid="{00000000-0002-0000-0000-000004000000}">
      <formula1>$M$16:$M$18</formula1>
    </dataValidation>
    <dataValidation type="list" allowBlank="1" showInputMessage="1" showErrorMessage="1" sqref="D11 N11" xr:uid="{00000000-0002-0000-0000-000005000000}">
      <formula1>$H$7:$H$10</formula1>
    </dataValidation>
    <dataValidation type="list" allowBlank="1" showInputMessage="1" showErrorMessage="1" sqref="C13 M13" xr:uid="{00000000-0002-0000-0000-000006000000}">
      <formula1>$H$12:$H$13</formula1>
    </dataValidation>
    <dataValidation type="list" allowBlank="1" showInputMessage="1" showErrorMessage="1" sqref="D14 N14" xr:uid="{00000000-0002-0000-0000-000007000000}">
      <formula1>"Annuity,Lumpsum"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Spinner 1">
              <controlPr defaultSize="0" autoPict="0">
                <anchor moveWithCells="1" sizeWithCells="1">
                  <from>
                    <xdr:col>3</xdr:col>
                    <xdr:colOff>12700</xdr:colOff>
                    <xdr:row>8</xdr:row>
                    <xdr:rowOff>12700</xdr:rowOff>
                  </from>
                  <to>
                    <xdr:col>3</xdr:col>
                    <xdr:colOff>482600</xdr:colOff>
                    <xdr:row>8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Spinner 2">
              <controlPr defaultSize="0" autoPict="0">
                <anchor moveWithCells="1" sizeWithCells="1">
                  <from>
                    <xdr:col>3</xdr:col>
                    <xdr:colOff>12700</xdr:colOff>
                    <xdr:row>8</xdr:row>
                    <xdr:rowOff>12700</xdr:rowOff>
                  </from>
                  <to>
                    <xdr:col>3</xdr:col>
                    <xdr:colOff>482600</xdr:colOff>
                    <xdr:row>8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5" name="Spinner 10">
              <controlPr defaultSize="0" autoPict="0">
                <anchor moveWithCells="1" sizeWithCells="1">
                  <from>
                    <xdr:col>13</xdr:col>
                    <xdr:colOff>12700</xdr:colOff>
                    <xdr:row>8</xdr:row>
                    <xdr:rowOff>12700</xdr:rowOff>
                  </from>
                  <to>
                    <xdr:col>13</xdr:col>
                    <xdr:colOff>482600</xdr:colOff>
                    <xdr:row>8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6" name="Spinner 11">
              <controlPr defaultSize="0" autoPict="0">
                <anchor moveWithCells="1" sizeWithCells="1">
                  <from>
                    <xdr:col>13</xdr:col>
                    <xdr:colOff>12700</xdr:colOff>
                    <xdr:row>8</xdr:row>
                    <xdr:rowOff>12700</xdr:rowOff>
                  </from>
                  <to>
                    <xdr:col>13</xdr:col>
                    <xdr:colOff>482600</xdr:colOff>
                    <xdr:row>8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7" name="Spinner 12">
              <controlPr defaultSize="0" autoPict="0">
                <anchor moveWithCells="1" sizeWithCells="1">
                  <from>
                    <xdr:col>13</xdr:col>
                    <xdr:colOff>12700</xdr:colOff>
                    <xdr:row>8</xdr:row>
                    <xdr:rowOff>12700</xdr:rowOff>
                  </from>
                  <to>
                    <xdr:col>13</xdr:col>
                    <xdr:colOff>482600</xdr:colOff>
                    <xdr:row>8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8" name="Spinner 13">
              <controlPr defaultSize="0" autoPict="0">
                <anchor moveWithCells="1" sizeWithCells="1">
                  <from>
                    <xdr:col>13</xdr:col>
                    <xdr:colOff>12700</xdr:colOff>
                    <xdr:row>8</xdr:row>
                    <xdr:rowOff>12700</xdr:rowOff>
                  </from>
                  <to>
                    <xdr:col>13</xdr:col>
                    <xdr:colOff>482600</xdr:colOff>
                    <xdr:row>8</xdr:row>
                    <xdr:rowOff>177800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J20"/>
  <sheetViews>
    <sheetView zoomScale="114" zoomScaleNormal="100" workbookViewId="0">
      <selection activeCell="J10" sqref="J10"/>
    </sheetView>
  </sheetViews>
  <sheetFormatPr defaultColWidth="9" defaultRowHeight="14" x14ac:dyDescent="0.25"/>
  <cols>
    <col min="4" max="4" width="23" bestFit="1" customWidth="1"/>
    <col min="5" max="5" width="17.08984375" bestFit="1" customWidth="1"/>
    <col min="9" max="9" width="23" bestFit="1" customWidth="1"/>
    <col min="10" max="10" width="17.08984375" bestFit="1" customWidth="1"/>
  </cols>
  <sheetData>
    <row r="4" spans="4:10" ht="18.5" x14ac:dyDescent="0.45">
      <c r="D4" s="58" t="s">
        <v>24</v>
      </c>
      <c r="E4" s="58"/>
      <c r="I4" s="58" t="s">
        <v>24</v>
      </c>
      <c r="J4" s="58"/>
    </row>
    <row r="5" spans="4:10" ht="15" x14ac:dyDescent="0.35">
      <c r="D5" s="23" t="s">
        <v>2</v>
      </c>
      <c r="E5" s="25" t="s">
        <v>3</v>
      </c>
      <c r="I5" s="23" t="s">
        <v>2</v>
      </c>
      <c r="J5" s="1" t="s">
        <v>5</v>
      </c>
    </row>
    <row r="6" spans="4:10" ht="15" x14ac:dyDescent="0.35">
      <c r="D6" s="23" t="str">
        <f>IF(Calculations!$C$8="FV","Accumulated Amt.","Amount Invested")</f>
        <v>Amount Invested</v>
      </c>
      <c r="E6" s="19">
        <v>200000</v>
      </c>
      <c r="I6" s="23" t="str">
        <f>IF(Calculations!$C$8="FV","Accumulated Amt.","Amount Invested")</f>
        <v>Amount Invested</v>
      </c>
      <c r="J6" s="19">
        <v>200000</v>
      </c>
    </row>
    <row r="7" spans="4:10" ht="15" x14ac:dyDescent="0.35">
      <c r="D7" s="23" t="s">
        <v>15</v>
      </c>
      <c r="E7" s="2">
        <v>0.1</v>
      </c>
      <c r="I7" s="23" t="s">
        <v>15</v>
      </c>
      <c r="J7" s="7">
        <v>6.7599999999999993E-2</v>
      </c>
    </row>
    <row r="8" spans="4:10" ht="15" x14ac:dyDescent="0.35">
      <c r="D8" s="23" t="s">
        <v>25</v>
      </c>
      <c r="E8" s="3">
        <v>10</v>
      </c>
      <c r="I8" s="23" t="s">
        <v>25</v>
      </c>
      <c r="J8" s="3">
        <v>10</v>
      </c>
    </row>
    <row r="9" spans="4:10" ht="15" x14ac:dyDescent="0.35">
      <c r="D9" s="23" t="s">
        <v>10</v>
      </c>
      <c r="E9" s="53" t="s">
        <v>11</v>
      </c>
      <c r="I9" s="23" t="s">
        <v>10</v>
      </c>
      <c r="J9" s="61" t="s">
        <v>44</v>
      </c>
    </row>
    <row r="10" spans="4:10" ht="15" x14ac:dyDescent="0.35">
      <c r="D10" s="23" t="s">
        <v>18</v>
      </c>
      <c r="E10" s="4" t="s">
        <v>33</v>
      </c>
      <c r="I10" s="23" t="s">
        <v>18</v>
      </c>
      <c r="J10" s="8" t="s">
        <v>32</v>
      </c>
    </row>
    <row r="11" spans="4:10" ht="15" x14ac:dyDescent="0.35">
      <c r="D11" s="23" t="s">
        <v>36</v>
      </c>
      <c r="E11" s="19">
        <f>IF(Calculations!C8="FV",IF(Calculations!D14="Annuity",-PMT(Calculations!$D$12/Calculations!$E$11,Calculations!$D$9*Calculations!E11,,Calculations!$D$8,Calculations!D13),-PV(Calculations!$D$12,Calculations!D9,,Calculations!$D$8,Calculations!D13)),IF(Calculations!D14="Annuity",PMT(Calculations!D12/Calculations!E11,Calculations!D9*Calculations!E11,-Calculations!D8,,Calculations!D13),FV(Calculations!D12,Calculations!D9,,-Calculations!D8,Calculations!D13)))</f>
        <v>28590.842185143814</v>
      </c>
      <c r="I11" s="23" t="s">
        <v>36</v>
      </c>
      <c r="J11" s="22">
        <f>IF(Calculations!M8="FV",IF(Calculations!N14="Annuity",-PMT(Calculations!$D$16/Calculations!$O$11,Calculations!$N$9*Calculations!O11,,Calculations!$N$8,Calculations!N13),-PV(Calculations!$D$16,Calculations!N9,,Calculations!$N$8,Calculations!N13)),IF(Calculations!N14="Annuity",FV(Calculations!D16/Calculations!O11,Calculations!N9*Calculations!O11,-Calculations!N8,,Calculations!N13),FV(Calculations!D16,Calculations!N9,,-Calculations!N8,Calculations!N13)))</f>
        <v>13805.897739415081</v>
      </c>
    </row>
    <row r="12" spans="4:10" x14ac:dyDescent="0.25">
      <c r="D12" s="5"/>
      <c r="E12" s="6"/>
      <c r="I12" s="5"/>
      <c r="J12" s="6"/>
    </row>
    <row r="15" spans="4:10" x14ac:dyDescent="0.25">
      <c r="D15" s="49" t="str">
        <f>IF(Calculations!D7="Aggressive",Calculations!D10,Calculations!D15)</f>
        <v>Mutual Funds</v>
      </c>
    </row>
    <row r="16" spans="4:10" x14ac:dyDescent="0.25">
      <c r="D16" s="50">
        <f>VLOOKUP(D15,Calculations!H16:I21,2,0)</f>
        <v>0.08</v>
      </c>
    </row>
    <row r="20" spans="4:10" x14ac:dyDescent="0.25">
      <c r="D20">
        <f>IF(Calculations!C8="FV",IF(Calculations!D14="Annuity",-PMT(Comparison!D16/Calculations!E11,Calculations!D9*Calculations!E11,,Calculations!D8,Calculations!D13),-PV(Comparison!D16,Calculations!D9,,Calculations!D8,Calculations!D13)),IF(Calculations!D14="Annuity",FV(Comparison!D16/Calculations!E11,Calculations!D9*Calculations!E11,-Calculations!D8,,Calculations!D13),FV(Comparison!D16,Calculations!D9,,-Calculations!D8,Calculations!D13)))</f>
        <v>3129097.4926365274</v>
      </c>
      <c r="J20" s="48"/>
    </row>
  </sheetData>
  <scenarios current="0" show="0" sqref="D14">
    <scenario name="Aggressive-Equity" locked="1" count="8" user="Acer" comment="Created by Acer on 24-02-2025_x000a_Modified by Acer on 24-02-2025">
      <inputCells r="E5" val="Aggressive"/>
      <inputCells r="E6" val="2500000"/>
      <inputCells r="E7" val="0.1"/>
      <inputCells r="E8" val="10"/>
      <inputCells r="E9" val="Equity"/>
      <inputCells r="E10" val=" Annuity "/>
      <inputCells r="E11" val="156863.487206279"/>
      <inputCells r="E12" val=""/>
    </scenario>
    <scenario name="Conservative-Equity" locked="1" count="8" user="Acer" comment="Created by Acer on 24-02-2025">
      <inputCells r="J5" val="Conservative"/>
      <inputCells r="J6" val="2500000"/>
      <inputCells r="J7" val="0.0676"/>
      <inputCells r="J8" val="10"/>
      <inputCells r="J9" val="Govt. Bonds"/>
      <inputCells r="J10" val=" Annuity "/>
      <inputCells r="J11" val="183005.19809247"/>
      <inputCells r="J12" val=""/>
    </scenario>
  </scenarios>
  <mergeCells count="2">
    <mergeCell ref="D4:E4"/>
    <mergeCell ref="I4:J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13948-A8A3-DF4A-80CC-7A19DAE991DD}">
  <dimension ref="C8:D12"/>
  <sheetViews>
    <sheetView zoomScale="138" workbookViewId="0">
      <selection activeCell="D9" sqref="D9"/>
    </sheetView>
  </sheetViews>
  <sheetFormatPr defaultColWidth="11.54296875" defaultRowHeight="14" x14ac:dyDescent="0.25"/>
  <sheetData>
    <row r="8" spans="3:4" ht="15" x14ac:dyDescent="0.35">
      <c r="C8" s="47" t="s">
        <v>31</v>
      </c>
      <c r="D8" s="47" t="s">
        <v>26</v>
      </c>
    </row>
    <row r="9" spans="3:4" x14ac:dyDescent="0.25">
      <c r="C9" s="6" t="s">
        <v>27</v>
      </c>
      <c r="D9" s="6">
        <f>SUM(IF(ISERROR(Dashboard!C3:AI49),1,0))</f>
        <v>0</v>
      </c>
    </row>
    <row r="10" spans="3:4" x14ac:dyDescent="0.25">
      <c r="C10" s="6" t="s">
        <v>28</v>
      </c>
      <c r="D10" s="6">
        <f>SUM(IF(ISERROR(Calculations!B1:Q21),1,0))</f>
        <v>0</v>
      </c>
    </row>
    <row r="11" spans="3:4" x14ac:dyDescent="0.25">
      <c r="C11" s="6" t="s">
        <v>29</v>
      </c>
      <c r="D11" s="6">
        <f>SUM(IF(ISERROR(Comparison!B1:K16)*1,0))</f>
        <v>0</v>
      </c>
    </row>
    <row r="12" spans="3:4" x14ac:dyDescent="0.25">
      <c r="C12" s="6" t="s">
        <v>30</v>
      </c>
      <c r="D12" s="6">
        <f>SUM(D9:D11)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7919-84BE-49E3-92A6-A3A91DCD7878}">
  <dimension ref="B3:G14"/>
  <sheetViews>
    <sheetView workbookViewId="0">
      <selection activeCell="I17" sqref="I17"/>
    </sheetView>
  </sheetViews>
  <sheetFormatPr defaultRowHeight="14" x14ac:dyDescent="0.25"/>
  <cols>
    <col min="2" max="2" width="16" customWidth="1"/>
    <col min="6" max="6" width="17.453125" customWidth="1"/>
  </cols>
  <sheetData>
    <row r="3" spans="2:7" ht="15" x14ac:dyDescent="0.35">
      <c r="B3" s="9" t="s">
        <v>4</v>
      </c>
      <c r="C3" s="11">
        <v>1</v>
      </c>
      <c r="D3" s="11">
        <v>12</v>
      </c>
      <c r="F3" s="38" t="s">
        <v>37</v>
      </c>
      <c r="G3" s="39"/>
    </row>
    <row r="4" spans="2:7" ht="15" x14ac:dyDescent="0.35">
      <c r="B4" s="9" t="s">
        <v>7</v>
      </c>
      <c r="C4" s="11">
        <v>2</v>
      </c>
      <c r="D4" s="11">
        <v>6</v>
      </c>
      <c r="F4" s="36" t="s">
        <v>11</v>
      </c>
      <c r="G4" s="40">
        <v>0.1</v>
      </c>
    </row>
    <row r="5" spans="2:7" ht="15" x14ac:dyDescent="0.35">
      <c r="B5" s="9" t="s">
        <v>9</v>
      </c>
      <c r="C5" s="11">
        <v>4</v>
      </c>
      <c r="D5" s="11">
        <v>3</v>
      </c>
      <c r="F5" s="35" t="s">
        <v>38</v>
      </c>
      <c r="G5" s="41">
        <v>0.09</v>
      </c>
    </row>
    <row r="6" spans="2:7" ht="15" x14ac:dyDescent="0.35">
      <c r="B6" s="9" t="s">
        <v>12</v>
      </c>
      <c r="C6" s="11">
        <v>12</v>
      </c>
      <c r="D6" s="11">
        <v>1</v>
      </c>
      <c r="F6" s="35" t="s">
        <v>22</v>
      </c>
      <c r="G6" s="41">
        <v>0.28000000000000003</v>
      </c>
    </row>
    <row r="7" spans="2:7" x14ac:dyDescent="0.25">
      <c r="F7" s="37"/>
      <c r="G7" s="37"/>
    </row>
    <row r="8" spans="2:7" ht="15" x14ac:dyDescent="0.35">
      <c r="B8" s="9" t="s">
        <v>16</v>
      </c>
      <c r="C8" s="9">
        <v>0</v>
      </c>
      <c r="F8" s="38" t="s">
        <v>39</v>
      </c>
      <c r="G8" s="39"/>
    </row>
    <row r="9" spans="2:7" ht="15" x14ac:dyDescent="0.35">
      <c r="B9" s="9" t="s">
        <v>17</v>
      </c>
      <c r="C9" s="9">
        <v>1</v>
      </c>
      <c r="F9" s="36" t="s">
        <v>13</v>
      </c>
      <c r="G9" s="42">
        <v>6.7599999999999993E-2</v>
      </c>
    </row>
    <row r="10" spans="2:7" ht="15" x14ac:dyDescent="0.35">
      <c r="F10" s="35" t="s">
        <v>21</v>
      </c>
      <c r="G10" s="43">
        <v>6.5000000000000002E-2</v>
      </c>
    </row>
    <row r="11" spans="2:7" ht="15" x14ac:dyDescent="0.35">
      <c r="F11" s="35" t="s">
        <v>23</v>
      </c>
      <c r="G11" s="41">
        <v>0.08</v>
      </c>
    </row>
    <row r="12" spans="2:7" ht="15" x14ac:dyDescent="0.35">
      <c r="B12" s="44"/>
      <c r="C12" s="45"/>
    </row>
    <row r="13" spans="2:7" ht="15" x14ac:dyDescent="0.35">
      <c r="B13" s="44"/>
      <c r="C13" s="45"/>
    </row>
    <row r="14" spans="2:7" ht="15" x14ac:dyDescent="0.35">
      <c r="B14" s="44"/>
      <c r="C14" s="45"/>
    </row>
  </sheetData>
  <dataValidations count="2">
    <dataValidation type="list" allowBlank="1" showInputMessage="1" showErrorMessage="1" sqref="C4" xr:uid="{E23D59E1-5AC1-45D1-94A1-DB40D72AA9BC}">
      <formula1>"Conservative, Aggressive"</formula1>
    </dataValidation>
    <dataValidation type="list" allowBlank="1" showInputMessage="1" showErrorMessage="1" sqref="B5" xr:uid="{E66D1487-B9A1-489A-9F48-3778BF598C83}">
      <formula1>"FV,PV"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Dashboard</vt:lpstr>
      <vt:lpstr>Calculations</vt:lpstr>
      <vt:lpstr>Comparison</vt:lpstr>
      <vt:lpstr>Audit Report</vt:lpstr>
      <vt:lpstr>Concept Notes</vt:lpstr>
      <vt:lpstr>Acc.Amt.</vt:lpstr>
      <vt:lpstr>Asset.Class</vt:lpstr>
      <vt:lpstr>ERR</vt:lpstr>
      <vt:lpstr>Investment_Period</vt:lpstr>
      <vt:lpstr>IP</vt:lpstr>
      <vt:lpstr>MOI</vt:lpstr>
      <vt:lpstr>Nature</vt:lpstr>
      <vt:lpstr>Savings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Kabra</dc:creator>
  <cp:lastModifiedBy>MANOJ KUMAR RATH</cp:lastModifiedBy>
  <dcterms:created xsi:type="dcterms:W3CDTF">2025-02-24T03:54:00Z</dcterms:created>
  <dcterms:modified xsi:type="dcterms:W3CDTF">2025-08-04T14:20:30Z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B86841C1FAF347718319C8D8C35F07D8_13</vt:lpwstr>
  </property>
  <property fmtid="{D5CDD505-2E9C-101B-9397-08002B2CF9AE}" pid="3" name="KSOProductBuildVer">
    <vt:lpwstr>1033-12.2.0.19805</vt:lpwstr>
  </property>
</Properties>
</file>